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in\OneDrive\Desktop\HA6_DtD\"/>
    </mc:Choice>
  </mc:AlternateContent>
  <xr:revisionPtr revIDLastSave="0" documentId="8_{F5CB5723-2B61-4B81-85E2-FC640E78240B}" xr6:coauthVersionLast="47" xr6:coauthVersionMax="47" xr10:uidLastSave="{00000000-0000-0000-0000-000000000000}"/>
  <bookViews>
    <workbookView xWindow="-108" yWindow="-108" windowWidth="23256" windowHeight="12576" activeTab="1" xr2:uid="{3E661474-D739-4392-B4C2-570868832E2A}"/>
  </bookViews>
  <sheets>
    <sheet name="SURGUT" sheetId="2" r:id="rId1"/>
    <sheet name="MTS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2" i="2"/>
  <c r="D2" i="2" s="1"/>
  <c r="B3" i="2"/>
  <c r="C3" i="2"/>
  <c r="B4" i="2"/>
  <c r="C4" i="2"/>
  <c r="B5" i="2"/>
  <c r="C5" i="2"/>
  <c r="B6" i="2"/>
  <c r="C6" i="2"/>
  <c r="B7" i="2"/>
  <c r="C7" i="2"/>
  <c r="D7" i="2" s="1"/>
  <c r="B8" i="2"/>
  <c r="C8" i="2"/>
  <c r="B9" i="2"/>
  <c r="C9" i="2"/>
  <c r="B10" i="2"/>
  <c r="C10" i="2"/>
  <c r="D10" i="2" s="1"/>
  <c r="B11" i="2"/>
  <c r="C11" i="2"/>
  <c r="D11" i="2" s="1"/>
  <c r="B12" i="2"/>
  <c r="C12" i="2"/>
  <c r="B13" i="2"/>
  <c r="C13" i="2"/>
  <c r="B14" i="2"/>
  <c r="C14" i="2"/>
  <c r="D14" i="2" s="1"/>
  <c r="B15" i="2"/>
  <c r="C15" i="2"/>
  <c r="D15" i="2" s="1"/>
  <c r="B16" i="2"/>
  <c r="C16" i="2"/>
  <c r="B17" i="2"/>
  <c r="C17" i="2"/>
  <c r="D17" i="2" s="1"/>
  <c r="B18" i="2"/>
  <c r="C18" i="2"/>
  <c r="B19" i="2"/>
  <c r="C19" i="2"/>
  <c r="D19" i="2"/>
  <c r="D18" i="2"/>
  <c r="D6" i="2"/>
  <c r="D3" i="2"/>
  <c r="C19" i="1"/>
  <c r="D19" i="1" s="1"/>
  <c r="B19" i="1"/>
  <c r="C18" i="1"/>
  <c r="B18" i="1"/>
  <c r="C17" i="1"/>
  <c r="B17" i="1"/>
  <c r="C16" i="1"/>
  <c r="B16" i="1"/>
  <c r="C15" i="1"/>
  <c r="D15" i="1" s="1"/>
  <c r="B15" i="1"/>
  <c r="C14" i="1"/>
  <c r="D14" i="1" s="1"/>
  <c r="B14" i="1"/>
  <c r="C13" i="1"/>
  <c r="B13" i="1"/>
  <c r="C12" i="1"/>
  <c r="D12" i="1" s="1"/>
  <c r="B12" i="1"/>
  <c r="C11" i="1"/>
  <c r="B11" i="1"/>
  <c r="C10" i="1"/>
  <c r="B10" i="1"/>
  <c r="C9" i="1"/>
  <c r="B9" i="1"/>
  <c r="C8" i="1"/>
  <c r="D8" i="1" s="1"/>
  <c r="B8" i="1"/>
  <c r="C7" i="1"/>
  <c r="B7" i="1"/>
  <c r="C6" i="1"/>
  <c r="B6" i="1"/>
  <c r="C5" i="1"/>
  <c r="B5" i="1"/>
  <c r="C4" i="1"/>
  <c r="D4" i="1" s="1"/>
  <c r="B4" i="1"/>
  <c r="C3" i="1"/>
  <c r="B3" i="1"/>
  <c r="C2" i="1"/>
  <c r="B2" i="1"/>
  <c r="D16" i="1" l="1"/>
  <c r="D5" i="1"/>
  <c r="D18" i="1"/>
  <c r="D7" i="1"/>
  <c r="D6" i="1"/>
  <c r="D13" i="1"/>
  <c r="D17" i="1"/>
  <c r="D9" i="1"/>
  <c r="D3" i="1"/>
  <c r="D10" i="1"/>
  <c r="D2" i="1"/>
  <c r="D11" i="1"/>
  <c r="D13" i="2"/>
  <c r="D4" i="2"/>
  <c r="D8" i="2"/>
  <c r="D12" i="2"/>
  <c r="D16" i="2"/>
  <c r="D5" i="2"/>
  <c r="D9" i="2"/>
</calcChain>
</file>

<file path=xl/sharedStrings.xml><?xml version="1.0" encoding="utf-8"?>
<sst xmlns="http://schemas.openxmlformats.org/spreadsheetml/2006/main" count="12" uniqueCount="6">
  <si>
    <t>r</t>
  </si>
  <si>
    <t>date</t>
  </si>
  <si>
    <t>long_L</t>
  </si>
  <si>
    <t>short_L</t>
  </si>
  <si>
    <t>L</t>
  </si>
  <si>
    <t>mcap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</si>
</sst>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0" xfId="0" applyNumberFormat="1" applyFont="1"/>
    <xf numFmtId="0" fontId="2" fillId="2" borderId="1" xfId="0" applyFont="1" applyFill="1" applyBorder="1"/>
    <xf numFmtId="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tin\OneDrive\Desktop\HA6_DtD\mcap.xlsx" TargetMode="External"/><Relationship Id="rId1" Type="http://schemas.openxmlformats.org/officeDocument/2006/relationships/externalLinkPath" Target="m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 (2)"/>
      <sheetName val="Лист2 (3)"/>
      <sheetName val="Лист6"/>
      <sheetName val="Лист2 (2)"/>
      <sheetName val="Лист1"/>
      <sheetName val="Лист2"/>
    </sheetNames>
    <sheetDataSet>
      <sheetData sheetId="0"/>
      <sheetData sheetId="1"/>
      <sheetData sheetId="2"/>
      <sheetData sheetId="3">
        <row r="3">
          <cell r="B3">
            <v>624608234</v>
          </cell>
          <cell r="C3">
            <v>614699351</v>
          </cell>
          <cell r="E3">
            <v>906458762</v>
          </cell>
          <cell r="F3">
            <v>341437272</v>
          </cell>
        </row>
        <row r="4">
          <cell r="B4">
            <v>571532865</v>
          </cell>
          <cell r="C4">
            <v>417030811</v>
          </cell>
          <cell r="E4">
            <v>441389308</v>
          </cell>
          <cell r="F4">
            <v>391256795</v>
          </cell>
        </row>
        <row r="5">
          <cell r="B5">
            <v>575511029</v>
          </cell>
          <cell r="C5">
            <v>312334161</v>
          </cell>
          <cell r="E5">
            <v>254061278</v>
          </cell>
          <cell r="F5">
            <v>266497854</v>
          </cell>
        </row>
        <row r="6">
          <cell r="B6">
            <v>568219641</v>
          </cell>
          <cell r="C6">
            <v>271190348</v>
          </cell>
          <cell r="E6">
            <v>134854539</v>
          </cell>
          <cell r="F6">
            <v>271182484</v>
          </cell>
        </row>
        <row r="7">
          <cell r="B7">
            <v>600868726</v>
          </cell>
          <cell r="C7">
            <v>143075486</v>
          </cell>
          <cell r="E7">
            <v>122768975</v>
          </cell>
          <cell r="F7">
            <v>142057890</v>
          </cell>
        </row>
        <row r="8">
          <cell r="B8">
            <v>445838758</v>
          </cell>
          <cell r="C8">
            <v>236991955</v>
          </cell>
          <cell r="E8">
            <v>96081612</v>
          </cell>
          <cell r="F8">
            <v>153770237</v>
          </cell>
        </row>
        <row r="9">
          <cell r="B9">
            <v>556107000</v>
          </cell>
          <cell r="C9">
            <v>181276000</v>
          </cell>
          <cell r="E9">
            <v>94669773</v>
          </cell>
          <cell r="F9">
            <v>168830866</v>
          </cell>
        </row>
        <row r="10">
          <cell r="B10">
            <v>306313000</v>
          </cell>
          <cell r="C10">
            <v>163606000</v>
          </cell>
          <cell r="E10">
            <v>81480978</v>
          </cell>
          <cell r="F10">
            <v>131556500</v>
          </cell>
        </row>
        <row r="11">
          <cell r="B11">
            <v>325526814</v>
          </cell>
          <cell r="C11">
            <v>125884752</v>
          </cell>
          <cell r="E11">
            <v>76896645</v>
          </cell>
          <cell r="F11">
            <v>110719281</v>
          </cell>
        </row>
        <row r="12">
          <cell r="B12">
            <v>351331310</v>
          </cell>
          <cell r="C12">
            <v>151992536</v>
          </cell>
          <cell r="E12">
            <v>71179750</v>
          </cell>
          <cell r="F12">
            <v>129936876</v>
          </cell>
        </row>
        <row r="13">
          <cell r="B13">
            <v>283138766</v>
          </cell>
          <cell r="C13">
            <v>128096538</v>
          </cell>
          <cell r="E13">
            <v>65303619</v>
          </cell>
          <cell r="F13">
            <v>128416618</v>
          </cell>
        </row>
        <row r="14">
          <cell r="B14">
            <v>219141819</v>
          </cell>
          <cell r="C14">
            <v>96455563</v>
          </cell>
          <cell r="E14">
            <v>54847738</v>
          </cell>
          <cell r="F14">
            <v>88212830</v>
          </cell>
        </row>
        <row r="15">
          <cell r="B15">
            <v>220055269</v>
          </cell>
          <cell r="C15">
            <v>105829581</v>
          </cell>
          <cell r="E15">
            <v>25334357</v>
          </cell>
          <cell r="F15">
            <v>79795204</v>
          </cell>
        </row>
        <row r="16">
          <cell r="B16">
            <v>264802998</v>
          </cell>
          <cell r="C16">
            <v>107506152</v>
          </cell>
          <cell r="E16">
            <v>25334357</v>
          </cell>
          <cell r="F16">
            <v>79795204</v>
          </cell>
        </row>
        <row r="17">
          <cell r="B17">
            <v>210379400</v>
          </cell>
          <cell r="C17">
            <v>80822377</v>
          </cell>
          <cell r="E17">
            <v>21073250</v>
          </cell>
          <cell r="F17">
            <v>54140792</v>
          </cell>
        </row>
        <row r="18">
          <cell r="B18">
            <v>176948405</v>
          </cell>
          <cell r="C18">
            <v>108039469</v>
          </cell>
          <cell r="E18">
            <v>16691683</v>
          </cell>
          <cell r="F18">
            <v>52446136</v>
          </cell>
        </row>
        <row r="19">
          <cell r="B19">
            <v>94037970</v>
          </cell>
          <cell r="C19">
            <v>85013851</v>
          </cell>
          <cell r="E19">
            <v>16080857</v>
          </cell>
          <cell r="F19">
            <v>40725602</v>
          </cell>
        </row>
        <row r="20">
          <cell r="B20">
            <v>70810435</v>
          </cell>
          <cell r="C20">
            <v>49453253</v>
          </cell>
          <cell r="E20">
            <v>15428882</v>
          </cell>
          <cell r="F20">
            <v>51067528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2F90-E2F8-4301-AFC2-47FC0C2EB96F}">
  <dimension ref="A1:F19"/>
  <sheetViews>
    <sheetView workbookViewId="0">
      <selection sqref="A1:F1"/>
    </sheetView>
  </sheetViews>
  <sheetFormatPr defaultRowHeight="14.4" x14ac:dyDescent="0.3"/>
  <sheetData>
    <row r="1" spans="1:6" x14ac:dyDescent="0.3">
      <c r="A1" t="s">
        <v>1</v>
      </c>
      <c r="B1" s="1" t="s">
        <v>2</v>
      </c>
      <c r="C1" s="1" t="s">
        <v>3</v>
      </c>
      <c r="D1" s="2" t="s">
        <v>4</v>
      </c>
      <c r="E1" t="s">
        <v>5</v>
      </c>
      <c r="F1" s="3" t="s">
        <v>0</v>
      </c>
    </row>
    <row r="2" spans="1:6" x14ac:dyDescent="0.3">
      <c r="A2" s="4">
        <v>2024</v>
      </c>
      <c r="B2" s="5">
        <f>'[1]Лист2 (2)'!E3/1000000</f>
        <v>906.45876199999998</v>
      </c>
      <c r="C2" s="5">
        <f>'[1]Лист2 (2)'!F3/1000000</f>
        <v>341.43727200000001</v>
      </c>
      <c r="D2" s="4">
        <f>C2+0.5*B2</f>
        <v>794.666653</v>
      </c>
      <c r="E2">
        <v>892.43498039999997</v>
      </c>
      <c r="F2">
        <v>6.87429565297005E-2</v>
      </c>
    </row>
    <row r="3" spans="1:6" x14ac:dyDescent="0.3">
      <c r="A3" s="4">
        <v>2023</v>
      </c>
      <c r="B3" s="5">
        <f>'[1]Лист2 (2)'!E4/1000000</f>
        <v>441.38930800000003</v>
      </c>
      <c r="C3" s="5">
        <f>'[1]Лист2 (2)'!F4/1000000</f>
        <v>391.25679500000001</v>
      </c>
      <c r="D3" s="4">
        <f>C3+0.5*B3</f>
        <v>611.95144900000003</v>
      </c>
      <c r="E3">
        <v>960.49297230000002</v>
      </c>
      <c r="F3">
        <v>6.87429565297005E-2</v>
      </c>
    </row>
    <row r="4" spans="1:6" x14ac:dyDescent="0.3">
      <c r="A4" s="4">
        <v>2022</v>
      </c>
      <c r="B4" s="5">
        <f>'[1]Лист2 (2)'!E5/1000000</f>
        <v>254.06127799999999</v>
      </c>
      <c r="C4" s="5">
        <f>'[1]Лист2 (2)'!F5/1000000</f>
        <v>266.49785400000002</v>
      </c>
      <c r="D4" s="4">
        <f>C4+0.5*B4</f>
        <v>393.52849300000003</v>
      </c>
      <c r="E4">
        <v>773.28883710000002</v>
      </c>
      <c r="F4">
        <v>6.87429565297005E-2</v>
      </c>
    </row>
    <row r="5" spans="1:6" x14ac:dyDescent="0.3">
      <c r="A5" s="4">
        <v>2021</v>
      </c>
      <c r="B5" s="5">
        <f>'[1]Лист2 (2)'!E6/1000000</f>
        <v>134.85453899999999</v>
      </c>
      <c r="C5" s="5">
        <f>'[1]Лист2 (2)'!F6/1000000</f>
        <v>271.18248399999999</v>
      </c>
      <c r="D5" s="4">
        <f>C5+0.5*B5</f>
        <v>338.60975350000001</v>
      </c>
      <c r="E5">
        <v>1425.8238617999998</v>
      </c>
      <c r="F5">
        <v>6.87429565297005E-2</v>
      </c>
    </row>
    <row r="6" spans="1:6" x14ac:dyDescent="0.3">
      <c r="A6" s="4">
        <v>2020</v>
      </c>
      <c r="B6" s="5">
        <f>'[1]Лист2 (2)'!E7/1000000</f>
        <v>122.768975</v>
      </c>
      <c r="C6" s="5">
        <f>'[1]Лист2 (2)'!F7/1000000</f>
        <v>142.05788999999999</v>
      </c>
      <c r="D6" s="4">
        <f>C6+0.5*B6</f>
        <v>203.44237749999999</v>
      </c>
      <c r="E6">
        <v>1285.5993902999999</v>
      </c>
      <c r="F6">
        <v>6.87429565297005E-2</v>
      </c>
    </row>
    <row r="7" spans="1:6" x14ac:dyDescent="0.3">
      <c r="A7" s="4">
        <v>2019</v>
      </c>
      <c r="B7" s="5">
        <f>'[1]Лист2 (2)'!E8/1000000</f>
        <v>96.081612000000007</v>
      </c>
      <c r="C7" s="5">
        <f>'[1]Лист2 (2)'!F8/1000000</f>
        <v>153.77023700000001</v>
      </c>
      <c r="D7" s="4">
        <f>C7+0.5*B7</f>
        <v>201.81104300000001</v>
      </c>
      <c r="E7">
        <v>1803.0902105999999</v>
      </c>
      <c r="F7">
        <v>6.87429565297005E-2</v>
      </c>
    </row>
    <row r="8" spans="1:6" x14ac:dyDescent="0.3">
      <c r="A8" s="4">
        <v>2018</v>
      </c>
      <c r="B8" s="5">
        <f>'[1]Лист2 (2)'!E9/1000000</f>
        <v>94.669773000000006</v>
      </c>
      <c r="C8" s="5">
        <f>'[1]Лист2 (2)'!F9/1000000</f>
        <v>168.83086599999999</v>
      </c>
      <c r="D8" s="4">
        <f>C8+0.5*B8</f>
        <v>216.1657525</v>
      </c>
      <c r="E8">
        <v>960.31434239999999</v>
      </c>
      <c r="F8">
        <v>6.87429565297005E-2</v>
      </c>
    </row>
    <row r="9" spans="1:6" x14ac:dyDescent="0.3">
      <c r="A9" s="4">
        <v>2017</v>
      </c>
      <c r="B9" s="5">
        <f>'[1]Лист2 (2)'!E10/1000000</f>
        <v>81.480977999999993</v>
      </c>
      <c r="C9" s="5">
        <f>'[1]Лист2 (2)'!F10/1000000</f>
        <v>131.5565</v>
      </c>
      <c r="D9" s="4">
        <f>C9+0.5*B9</f>
        <v>172.296989</v>
      </c>
      <c r="E9">
        <v>996.39758219999999</v>
      </c>
      <c r="F9">
        <v>6.87429565297005E-2</v>
      </c>
    </row>
    <row r="10" spans="1:6" x14ac:dyDescent="0.3">
      <c r="A10" s="4">
        <v>2016</v>
      </c>
      <c r="B10" s="5">
        <f>'[1]Лист2 (2)'!E11/1000000</f>
        <v>76.896645000000007</v>
      </c>
      <c r="C10" s="5">
        <f>'[1]Лист2 (2)'!F11/1000000</f>
        <v>110.719281</v>
      </c>
      <c r="D10" s="4">
        <f>C10+0.5*B10</f>
        <v>149.16760349999998</v>
      </c>
      <c r="E10">
        <v>1105.719081</v>
      </c>
      <c r="F10">
        <v>6.87429565297005E-2</v>
      </c>
    </row>
    <row r="11" spans="1:6" x14ac:dyDescent="0.3">
      <c r="A11" s="4">
        <v>2015</v>
      </c>
      <c r="B11" s="5">
        <f>'[1]Лист2 (2)'!E12/1000000</f>
        <v>71.179749999999999</v>
      </c>
      <c r="C11" s="5">
        <f>'[1]Лист2 (2)'!F12/1000000</f>
        <v>129.93687600000001</v>
      </c>
      <c r="D11" s="4">
        <f>C11+0.5*B11</f>
        <v>165.52675100000002</v>
      </c>
      <c r="E11">
        <v>1213.7901705000002</v>
      </c>
      <c r="F11">
        <v>6.87429565297005E-2</v>
      </c>
    </row>
    <row r="12" spans="1:6" x14ac:dyDescent="0.3">
      <c r="A12" s="4">
        <v>2014</v>
      </c>
      <c r="B12" s="5">
        <f>'[1]Лист2 (2)'!E13/1000000</f>
        <v>65.303618999999998</v>
      </c>
      <c r="C12" s="5">
        <f>'[1]Лист2 (2)'!F13/1000000</f>
        <v>128.416618</v>
      </c>
      <c r="D12" s="4">
        <f>C12+0.5*B12</f>
        <v>161.06842749999998</v>
      </c>
      <c r="E12">
        <v>840.27504959999999</v>
      </c>
      <c r="F12">
        <v>6.87429565297005E-2</v>
      </c>
    </row>
    <row r="13" spans="1:6" x14ac:dyDescent="0.3">
      <c r="A13" s="4">
        <v>2013</v>
      </c>
      <c r="B13" s="5">
        <f>'[1]Лист2 (2)'!E14/1000000</f>
        <v>54.847738</v>
      </c>
      <c r="C13" s="5">
        <f>'[1]Лист2 (2)'!F14/1000000</f>
        <v>88.212829999999997</v>
      </c>
      <c r="D13" s="4">
        <f>C13+0.5*B13</f>
        <v>115.63669899999999</v>
      </c>
      <c r="E13">
        <v>1013.33169672</v>
      </c>
      <c r="F13">
        <v>6.87429565297005E-2</v>
      </c>
    </row>
    <row r="14" spans="1:6" x14ac:dyDescent="0.3">
      <c r="A14" s="4">
        <v>2012</v>
      </c>
      <c r="B14" s="5">
        <f>'[1]Лист2 (2)'!E15/1000000</f>
        <v>25.334357000000001</v>
      </c>
      <c r="C14" s="5">
        <f>'[1]Лист2 (2)'!F15/1000000</f>
        <v>79.795203999999998</v>
      </c>
      <c r="D14" s="4">
        <f>C14+0.5*B14</f>
        <v>92.462382500000004</v>
      </c>
      <c r="E14">
        <v>957.45626400000003</v>
      </c>
      <c r="F14">
        <v>6.87429565297005E-2</v>
      </c>
    </row>
    <row r="15" spans="1:6" x14ac:dyDescent="0.3">
      <c r="A15" s="4">
        <v>2011</v>
      </c>
      <c r="B15" s="5">
        <f>'[1]Лист2 (2)'!E16/1000000</f>
        <v>25.334357000000001</v>
      </c>
      <c r="C15" s="5">
        <f>'[1]Лист2 (2)'!F16/1000000</f>
        <v>79.795203999999998</v>
      </c>
      <c r="D15" s="4">
        <f>C15+0.5*B15</f>
        <v>92.462382500000004</v>
      </c>
      <c r="E15">
        <v>914.58508800000004</v>
      </c>
      <c r="F15">
        <v>6.87429565297005E-2</v>
      </c>
    </row>
    <row r="16" spans="1:6" x14ac:dyDescent="0.3">
      <c r="A16" s="4">
        <v>2010</v>
      </c>
      <c r="B16" s="5">
        <f>'[1]Лист2 (2)'!E17/1000000</f>
        <v>21.073250000000002</v>
      </c>
      <c r="C16" s="5">
        <f>'[1]Лист2 (2)'!F17/1000000</f>
        <v>54.140791999999998</v>
      </c>
      <c r="D16" s="4">
        <f>C16+0.5*B16</f>
        <v>64.677416999999991</v>
      </c>
      <c r="E16">
        <v>1152.1625325</v>
      </c>
      <c r="F16">
        <v>6.87429565297005E-2</v>
      </c>
    </row>
    <row r="17" spans="1:6" x14ac:dyDescent="0.3">
      <c r="A17" s="4">
        <v>2009</v>
      </c>
      <c r="B17" s="5">
        <f>'[1]Лист2 (2)'!E18/1000000</f>
        <v>16.691683000000001</v>
      </c>
      <c r="C17" s="5">
        <f>'[1]Лист2 (2)'!F18/1000000</f>
        <v>52.446136000000003</v>
      </c>
      <c r="D17" s="4">
        <f>C17+0.5*B17</f>
        <v>60.791977500000002</v>
      </c>
      <c r="E17">
        <v>957.95615957999996</v>
      </c>
      <c r="F17">
        <v>6.87429565297005E-2</v>
      </c>
    </row>
    <row r="18" spans="1:6" x14ac:dyDescent="0.3">
      <c r="A18" s="4">
        <v>2008</v>
      </c>
      <c r="B18" s="5">
        <f>'[1]Лист2 (2)'!E19/1000000</f>
        <v>16.080857000000002</v>
      </c>
      <c r="C18" s="5">
        <f>'[1]Лист2 (2)'!F19/1000000</f>
        <v>40.725602000000002</v>
      </c>
      <c r="D18" s="4">
        <f>C18+0.5*B18</f>
        <v>48.766030499999999</v>
      </c>
      <c r="E18">
        <v>591.26480349999997</v>
      </c>
      <c r="F18">
        <v>6.87429565297005E-2</v>
      </c>
    </row>
    <row r="19" spans="1:6" x14ac:dyDescent="0.3">
      <c r="A19" s="4">
        <v>2007</v>
      </c>
      <c r="B19" s="5">
        <f>'[1]Лист2 (2)'!E20/1000000</f>
        <v>15.428882</v>
      </c>
      <c r="C19" s="5">
        <f>'[1]Лист2 (2)'!F20/1000000</f>
        <v>51.067528000000003</v>
      </c>
      <c r="D19" s="4">
        <f>C19+0.5*B19</f>
        <v>58.781969000000004</v>
      </c>
      <c r="E19">
        <v>1053.9518409699999</v>
      </c>
      <c r="F19">
        <v>6.87429565297005E-2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9272-A2BD-45BC-BB83-AEC259870623}">
  <dimension ref="A1:F19"/>
  <sheetViews>
    <sheetView tabSelected="1" workbookViewId="0">
      <selection activeCell="G7" sqref="G7"/>
    </sheetView>
  </sheetViews>
  <sheetFormatPr defaultRowHeight="14.4" x14ac:dyDescent="0.3"/>
  <sheetData>
    <row r="1" spans="1:6" x14ac:dyDescent="0.3">
      <c r="A1" t="s">
        <v>1</v>
      </c>
      <c r="B1" s="1" t="s">
        <v>2</v>
      </c>
      <c r="C1" s="1" t="s">
        <v>3</v>
      </c>
      <c r="D1" s="2" t="s">
        <v>4</v>
      </c>
      <c r="E1" t="s">
        <v>5</v>
      </c>
      <c r="F1" s="3" t="s">
        <v>0</v>
      </c>
    </row>
    <row r="2" spans="1:6" x14ac:dyDescent="0.3">
      <c r="A2" s="4">
        <v>2024</v>
      </c>
      <c r="B2" s="5">
        <f>'[1]Лист2 (2)'!B3/1000000</f>
        <v>624.60823400000004</v>
      </c>
      <c r="C2" s="5">
        <f>'[1]Лист2 (2)'!C3/1000000</f>
        <v>614.69935099999998</v>
      </c>
      <c r="D2" s="4">
        <f>C2+0.5*B2</f>
        <v>927.003468</v>
      </c>
      <c r="E2">
        <v>420.95874700000002</v>
      </c>
      <c r="F2">
        <v>6.87429565297005E-2</v>
      </c>
    </row>
    <row r="3" spans="1:6" x14ac:dyDescent="0.3">
      <c r="A3" s="4">
        <v>2023</v>
      </c>
      <c r="B3" s="5">
        <f>'[1]Лист2 (2)'!B4/1000000</f>
        <v>571.53286500000002</v>
      </c>
      <c r="C3" s="5">
        <f>'[1]Лист2 (2)'!C4/1000000</f>
        <v>417.03081100000003</v>
      </c>
      <c r="D3" s="4">
        <f>C3+0.5*B3</f>
        <v>702.79724350000004</v>
      </c>
      <c r="E3">
        <v>496.49751099999997</v>
      </c>
      <c r="F3">
        <v>6.87429565297005E-2</v>
      </c>
    </row>
    <row r="4" spans="1:6" x14ac:dyDescent="0.3">
      <c r="A4" s="4">
        <v>2022</v>
      </c>
      <c r="B4" s="5">
        <f>'[1]Лист2 (2)'!B5/1000000</f>
        <v>575.51102900000001</v>
      </c>
      <c r="C4" s="5">
        <f>'[1]Лист2 (2)'!C5/1000000</f>
        <v>312.33416099999999</v>
      </c>
      <c r="D4" s="4">
        <f>C4+0.5*B4</f>
        <v>600.0896755</v>
      </c>
      <c r="E4">
        <v>472.41703200000001</v>
      </c>
      <c r="F4">
        <v>6.87429565297005E-2</v>
      </c>
    </row>
    <row r="5" spans="1:6" x14ac:dyDescent="0.3">
      <c r="A5" s="4">
        <v>2021</v>
      </c>
      <c r="B5" s="5">
        <f>'[1]Лист2 (2)'!B6/1000000</f>
        <v>568.21964100000002</v>
      </c>
      <c r="C5" s="5">
        <f>'[1]Лист2 (2)'!C6/1000000</f>
        <v>271.19034799999997</v>
      </c>
      <c r="D5" s="4">
        <f>C5+0.5*B5</f>
        <v>555.30016849999993</v>
      </c>
      <c r="E5">
        <v>597.31578200000001</v>
      </c>
      <c r="F5">
        <v>6.87429565297005E-2</v>
      </c>
    </row>
    <row r="6" spans="1:6" x14ac:dyDescent="0.3">
      <c r="A6" s="4">
        <v>2020</v>
      </c>
      <c r="B6" s="5">
        <f>'[1]Лист2 (2)'!B7/1000000</f>
        <v>600.86872600000004</v>
      </c>
      <c r="C6" s="5">
        <f>'[1]Лист2 (2)'!C7/1000000</f>
        <v>143.07548600000001</v>
      </c>
      <c r="D6" s="4">
        <f>C6+0.5*B6</f>
        <v>443.50984900000003</v>
      </c>
      <c r="E6">
        <v>661.86345600000004</v>
      </c>
      <c r="F6">
        <v>6.87429565297005E-2</v>
      </c>
    </row>
    <row r="7" spans="1:6" x14ac:dyDescent="0.3">
      <c r="A7" s="4">
        <v>2019</v>
      </c>
      <c r="B7" s="5">
        <f>'[1]Лист2 (2)'!B8/1000000</f>
        <v>445.83875799999998</v>
      </c>
      <c r="C7" s="5">
        <f>'[1]Лист2 (2)'!C8/1000000</f>
        <v>236.99195499999999</v>
      </c>
      <c r="D7" s="4">
        <f>C7+0.5*B7</f>
        <v>459.91133400000001</v>
      </c>
      <c r="E7">
        <v>639.38168099999996</v>
      </c>
      <c r="F7">
        <v>6.87429565297005E-2</v>
      </c>
    </row>
    <row r="8" spans="1:6" x14ac:dyDescent="0.3">
      <c r="A8" s="4">
        <v>2018</v>
      </c>
      <c r="B8" s="5">
        <f>'[1]Лист2 (2)'!B9/1000000</f>
        <v>556.10699999999997</v>
      </c>
      <c r="C8" s="5">
        <f>'[1]Лист2 (2)'!C9/1000000</f>
        <v>181.27600000000001</v>
      </c>
      <c r="D8" s="4">
        <f>C8+0.5*B8</f>
        <v>459.3295</v>
      </c>
      <c r="E8">
        <v>475.61444</v>
      </c>
      <c r="F8">
        <v>6.87429565297005E-2</v>
      </c>
    </row>
    <row r="9" spans="1:6" x14ac:dyDescent="0.3">
      <c r="A9" s="4">
        <v>2017</v>
      </c>
      <c r="B9" s="5">
        <f>'[1]Лист2 (2)'!B10/1000000</f>
        <v>306.31299999999999</v>
      </c>
      <c r="C9" s="5">
        <f>'[1]Лист2 (2)'!C10/1000000</f>
        <v>163.60599999999999</v>
      </c>
      <c r="D9" s="4">
        <f>C9+0.5*B9</f>
        <v>316.76249999999999</v>
      </c>
      <c r="E9">
        <v>551.55287999999996</v>
      </c>
      <c r="F9">
        <v>6.87429565297005E-2</v>
      </c>
    </row>
    <row r="10" spans="1:6" x14ac:dyDescent="0.3">
      <c r="A10" s="4">
        <v>2016</v>
      </c>
      <c r="B10" s="5">
        <f>'[1]Лист2 (2)'!B11/1000000</f>
        <v>325.526814</v>
      </c>
      <c r="C10" s="5">
        <f>'[1]Лист2 (2)'!C11/1000000</f>
        <v>125.88475200000001</v>
      </c>
      <c r="D10" s="4">
        <f>C10+0.5*B10</f>
        <v>288.64815900000002</v>
      </c>
      <c r="E10">
        <v>517.58042</v>
      </c>
      <c r="F10">
        <v>6.87429565297005E-2</v>
      </c>
    </row>
    <row r="11" spans="1:6" x14ac:dyDescent="0.3">
      <c r="A11" s="4">
        <v>2015</v>
      </c>
      <c r="B11" s="5">
        <f>'[1]Лист2 (2)'!B12/1000000</f>
        <v>351.33130999999997</v>
      </c>
      <c r="C11" s="5">
        <f>'[1]Лист2 (2)'!C12/1000000</f>
        <v>151.992536</v>
      </c>
      <c r="D11" s="4">
        <f>C11+0.5*B11</f>
        <v>327.65819099999999</v>
      </c>
      <c r="E11">
        <v>433.94652000000002</v>
      </c>
      <c r="F11">
        <v>6.87429565297005E-2</v>
      </c>
    </row>
    <row r="12" spans="1:6" x14ac:dyDescent="0.3">
      <c r="A12" s="4">
        <v>2014</v>
      </c>
      <c r="B12" s="5">
        <f>'[1]Лист2 (2)'!B13/1000000</f>
        <v>283.13876599999998</v>
      </c>
      <c r="C12" s="5">
        <f>'[1]Лист2 (2)'!C13/1000000</f>
        <v>128.09653800000001</v>
      </c>
      <c r="D12" s="4">
        <f>C12+0.5*B12</f>
        <v>269.66592100000003</v>
      </c>
      <c r="E12">
        <v>349.32694860000004</v>
      </c>
      <c r="F12">
        <v>6.87429565297005E-2</v>
      </c>
    </row>
    <row r="13" spans="1:6" x14ac:dyDescent="0.3">
      <c r="A13" s="4">
        <v>2013</v>
      </c>
      <c r="B13" s="5">
        <f>'[1]Лист2 (2)'!B14/1000000</f>
        <v>219.141819</v>
      </c>
      <c r="C13" s="5">
        <f>'[1]Лист2 (2)'!C14/1000000</f>
        <v>96.455562999999998</v>
      </c>
      <c r="D13" s="4">
        <f>C13+0.5*B13</f>
        <v>206.02647250000001</v>
      </c>
      <c r="E13">
        <v>678.38239548000013</v>
      </c>
      <c r="F13">
        <v>6.87429565297005E-2</v>
      </c>
    </row>
    <row r="14" spans="1:6" x14ac:dyDescent="0.3">
      <c r="A14" s="4">
        <v>2012</v>
      </c>
      <c r="B14" s="5">
        <f>'[1]Лист2 (2)'!B15/1000000</f>
        <v>220.05526900000001</v>
      </c>
      <c r="C14" s="5">
        <f>'[1]Лист2 (2)'!C15/1000000</f>
        <v>105.829581</v>
      </c>
      <c r="D14" s="4">
        <f>C14+0.5*B14</f>
        <v>215.8572155</v>
      </c>
      <c r="E14">
        <v>508.33735200000001</v>
      </c>
      <c r="F14">
        <v>6.87429565297005E-2</v>
      </c>
    </row>
    <row r="15" spans="1:6" x14ac:dyDescent="0.3">
      <c r="A15" s="4">
        <v>2011</v>
      </c>
      <c r="B15" s="5">
        <f>'[1]Лист2 (2)'!B16/1000000</f>
        <v>264.802998</v>
      </c>
      <c r="C15" s="5">
        <f>'[1]Лист2 (2)'!C16/1000000</f>
        <v>107.506152</v>
      </c>
      <c r="D15" s="4">
        <f>C15+0.5*B15</f>
        <v>239.90765099999999</v>
      </c>
      <c r="E15">
        <v>378.52535016000002</v>
      </c>
      <c r="F15">
        <v>6.87429565297005E-2</v>
      </c>
    </row>
    <row r="16" spans="1:6" x14ac:dyDescent="0.3">
      <c r="A16" s="4">
        <v>2010</v>
      </c>
      <c r="B16" s="5">
        <f>'[1]Лист2 (2)'!B17/1000000</f>
        <v>210.3794</v>
      </c>
      <c r="C16" s="5">
        <f>'[1]Лист2 (2)'!C17/1000000</f>
        <v>80.822377000000003</v>
      </c>
      <c r="D16" s="4">
        <f>C16+0.5*B16</f>
        <v>186.01207700000001</v>
      </c>
      <c r="E16">
        <v>518.02556087999994</v>
      </c>
      <c r="F16">
        <v>6.87429565297005E-2</v>
      </c>
    </row>
    <row r="17" spans="1:6" x14ac:dyDescent="0.3">
      <c r="A17" s="4">
        <v>2009</v>
      </c>
      <c r="B17" s="5">
        <f>'[1]Лист2 (2)'!B18/1000000</f>
        <v>176.94840500000001</v>
      </c>
      <c r="C17" s="5">
        <f>'[1]Лист2 (2)'!C18/1000000</f>
        <v>108.039469</v>
      </c>
      <c r="D17" s="4">
        <f>C17+0.5*B17</f>
        <v>196.51367149999999</v>
      </c>
      <c r="E17">
        <v>441.90021925000002</v>
      </c>
      <c r="F17">
        <v>6.87429565297005E-2</v>
      </c>
    </row>
    <row r="18" spans="1:6" x14ac:dyDescent="0.3">
      <c r="A18" s="4">
        <v>2008</v>
      </c>
      <c r="B18" s="5">
        <f>'[1]Лист2 (2)'!B19/1000000</f>
        <v>94.037970000000001</v>
      </c>
      <c r="C18" s="5">
        <f>'[1]Лист2 (2)'!C19/1000000</f>
        <v>85.013851000000003</v>
      </c>
      <c r="D18" s="4">
        <f>C18+0.5*B18</f>
        <v>132.032836</v>
      </c>
      <c r="E18">
        <v>222.5746695</v>
      </c>
      <c r="F18">
        <v>6.87429565297005E-2</v>
      </c>
    </row>
    <row r="19" spans="1:6" x14ac:dyDescent="0.3">
      <c r="A19" s="4">
        <v>2007</v>
      </c>
      <c r="B19" s="5">
        <f>'[1]Лист2 (2)'!B20/1000000</f>
        <v>70.810434999999998</v>
      </c>
      <c r="C19" s="5">
        <f>'[1]Лист2 (2)'!C20/1000000</f>
        <v>49.453252999999997</v>
      </c>
      <c r="D19" s="4">
        <f>C19+0.5*B19</f>
        <v>84.858470499999996</v>
      </c>
      <c r="E19">
        <v>752.48018750000006</v>
      </c>
      <c r="F19">
        <v>6.87429565297005E-2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SURGUT</vt:lpstr>
      <vt:lpstr>MTS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 Литинская</dc:creator>
  <cp:lastModifiedBy>Наталия Литинская</cp:lastModifiedBy>
  <dcterms:created xsi:type="dcterms:W3CDTF">2025-12-03T17:25:36Z</dcterms:created>
  <dcterms:modified xsi:type="dcterms:W3CDTF">2025-12-03T17:48:20Z</dcterms:modified>
</cp:coreProperties>
</file>